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 activeTab="2"/>
  </bookViews>
  <sheets>
    <sheet name="Data" sheetId="1" r:id="rId1"/>
    <sheet name="Point" sheetId="2" r:id="rId2"/>
    <sheet name="SAW" sheetId="4" r:id="rId3"/>
  </sheets>
  <calcPr calcId="144525"/>
  <fileRecoveryPr repairLoad="1"/>
</workbook>
</file>

<file path=xl/calcChain.xml><?xml version="1.0" encoding="utf-8"?>
<calcChain xmlns="http://schemas.openxmlformats.org/spreadsheetml/2006/main">
  <c r="E6" i="2" l="1"/>
  <c r="D18" i="4"/>
  <c r="C18" i="4"/>
  <c r="H5" i="4"/>
  <c r="C17" i="4" l="1"/>
  <c r="C19" i="4" l="1"/>
  <c r="C20" i="4"/>
  <c r="C21" i="4"/>
  <c r="C22" i="4"/>
  <c r="C23" i="4"/>
  <c r="C24" i="4"/>
  <c r="C25" i="4"/>
  <c r="C26" i="4"/>
  <c r="C27" i="4"/>
  <c r="G5" i="2"/>
  <c r="I6" i="2"/>
  <c r="I7" i="2"/>
  <c r="I8" i="2"/>
  <c r="I9" i="2"/>
  <c r="I10" i="2"/>
  <c r="I11" i="2"/>
  <c r="I12" i="2"/>
  <c r="I13" i="2"/>
  <c r="I14" i="2"/>
  <c r="I5" i="2"/>
  <c r="H6" i="2"/>
  <c r="H7" i="2"/>
  <c r="H8" i="2"/>
  <c r="H9" i="2"/>
  <c r="H10" i="2"/>
  <c r="H11" i="2"/>
  <c r="H12" i="2"/>
  <c r="H13" i="2"/>
  <c r="H14" i="2"/>
  <c r="H5" i="2"/>
  <c r="G6" i="2"/>
  <c r="G7" i="2"/>
  <c r="G8" i="2"/>
  <c r="G9" i="2"/>
  <c r="G10" i="2"/>
  <c r="G11" i="2"/>
  <c r="G12" i="2"/>
  <c r="G13" i="2"/>
  <c r="G14" i="2"/>
  <c r="F6" i="2"/>
  <c r="F7" i="2"/>
  <c r="F8" i="2"/>
  <c r="F9" i="2"/>
  <c r="F10" i="2"/>
  <c r="F11" i="2"/>
  <c r="F12" i="2"/>
  <c r="F13" i="2"/>
  <c r="F14" i="2"/>
  <c r="F5" i="2"/>
  <c r="E7" i="2"/>
  <c r="E8" i="2"/>
  <c r="E9" i="2"/>
  <c r="E10" i="2"/>
  <c r="E11" i="2"/>
  <c r="E12" i="2"/>
  <c r="E13" i="2"/>
  <c r="E14" i="2"/>
  <c r="E5" i="2"/>
  <c r="E27" i="4" l="1"/>
  <c r="D17" i="4"/>
  <c r="F19" i="4"/>
  <c r="F20" i="4"/>
  <c r="F21" i="4"/>
  <c r="F22" i="4"/>
  <c r="F23" i="4"/>
  <c r="F24" i="4"/>
  <c r="F25" i="4"/>
  <c r="F26" i="4"/>
  <c r="F27" i="4"/>
  <c r="F18" i="4"/>
  <c r="G19" i="4"/>
  <c r="C31" i="4" s="1"/>
  <c r="G20" i="4"/>
  <c r="C32" i="4" s="1"/>
  <c r="G21" i="4"/>
  <c r="G22" i="4"/>
  <c r="G23" i="4"/>
  <c r="G24" i="4"/>
  <c r="G25" i="4"/>
  <c r="G26" i="4"/>
  <c r="G27" i="4"/>
  <c r="G18" i="4"/>
  <c r="C30" i="4" s="1"/>
  <c r="G17" i="4"/>
  <c r="F17" i="4"/>
  <c r="E19" i="4"/>
  <c r="E20" i="4"/>
  <c r="E21" i="4"/>
  <c r="E22" i="4"/>
  <c r="E23" i="4"/>
  <c r="E24" i="4"/>
  <c r="E25" i="4"/>
  <c r="E26" i="4"/>
  <c r="E18" i="4"/>
  <c r="E17" i="4"/>
  <c r="D19" i="4"/>
  <c r="D20" i="4"/>
  <c r="D21" i="4"/>
  <c r="D22" i="4"/>
  <c r="D23" i="4"/>
  <c r="D24" i="4"/>
  <c r="D25" i="4"/>
  <c r="D26" i="4"/>
  <c r="D27" i="4"/>
  <c r="F31" i="4" l="1"/>
  <c r="C35" i="4"/>
  <c r="C39" i="4"/>
  <c r="C38" i="4"/>
  <c r="C37" i="4"/>
  <c r="C33" i="4"/>
  <c r="C36" i="4"/>
  <c r="C34" i="4"/>
</calcChain>
</file>

<file path=xl/sharedStrings.xml><?xml version="1.0" encoding="utf-8"?>
<sst xmlns="http://schemas.openxmlformats.org/spreadsheetml/2006/main" count="121" uniqueCount="53">
  <si>
    <t>NO</t>
  </si>
  <si>
    <t>NIM</t>
  </si>
  <si>
    <t>IPK</t>
  </si>
  <si>
    <t>Tangungan Orang Tua</t>
  </si>
  <si>
    <t>Nama</t>
  </si>
  <si>
    <t>Pendapatan Orang Tua</t>
  </si>
  <si>
    <t>ADTIYA KESUMA</t>
  </si>
  <si>
    <t>ACHMAD DEDI</t>
  </si>
  <si>
    <t>BETTY SUBAGYO</t>
  </si>
  <si>
    <t>BOY SOPIAN</t>
  </si>
  <si>
    <t>CHINTYA AMELIA</t>
  </si>
  <si>
    <t>DWI HANDOKO</t>
  </si>
  <si>
    <t>DESI NADIYA</t>
  </si>
  <si>
    <t>SYAIFULLAH AFANDI</t>
  </si>
  <si>
    <t>SUSAN ALYA</t>
  </si>
  <si>
    <t>ZASKIA AYUNDA</t>
  </si>
  <si>
    <t>Aset Kekayaan</t>
  </si>
  <si>
    <t>Kelengkapan Administrasi</t>
  </si>
  <si>
    <t>Lengkap</t>
  </si>
  <si>
    <t>Tidak Lengkap</t>
  </si>
  <si>
    <t>cost benefit</t>
  </si>
  <si>
    <t>cost</t>
  </si>
  <si>
    <t>benefit</t>
  </si>
  <si>
    <t>Kepentingan</t>
  </si>
  <si>
    <t>Normalisasi</t>
  </si>
  <si>
    <t>Pendapatan orang tua</t>
  </si>
  <si>
    <t>Tanggungan orang tua</t>
  </si>
  <si>
    <t>ALTERNATIF/KRITERIA</t>
  </si>
  <si>
    <t>Pembagi</t>
  </si>
  <si>
    <t>Hasil Poin</t>
  </si>
  <si>
    <t>Rekomendasi</t>
  </si>
  <si>
    <t>SELEKSI PENERIMAAN BEASISWA</t>
  </si>
  <si>
    <t>No</t>
  </si>
  <si>
    <t>Point</t>
  </si>
  <si>
    <t>IPK Diatas 3,5</t>
  </si>
  <si>
    <t>IPK Diatas 3,0</t>
  </si>
  <si>
    <t>IPK Diatas 2,75</t>
  </si>
  <si>
    <t>IPK Dibawah 2,75</t>
  </si>
  <si>
    <t>Dibawah 2,5 juta</t>
  </si>
  <si>
    <t>Diatas 2,6 juta</t>
  </si>
  <si>
    <t>Diatas 3,5</t>
  </si>
  <si>
    <t>Diatas 5 juta</t>
  </si>
  <si>
    <t>Tanggungan</t>
  </si>
  <si>
    <t>Pendapatan</t>
  </si>
  <si>
    <t>100-200 juta</t>
  </si>
  <si>
    <t>200-300 juta</t>
  </si>
  <si>
    <t>300-500 juta</t>
  </si>
  <si>
    <t>Lebih dari 5 anak</t>
  </si>
  <si>
    <t>4 anak</t>
  </si>
  <si>
    <t>3 anak</t>
  </si>
  <si>
    <t>2 atau 1 anak</t>
  </si>
  <si>
    <t>Kelengkapan Andministrasi</t>
  </si>
  <si>
    <t>diatas 500 juta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</si>
</sst>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i/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4EE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FF0066"/>
      </left>
      <right style="dashed">
        <color rgb="FFFF0066"/>
      </right>
      <top style="dashed">
        <color rgb="FFFF0066"/>
      </top>
      <bottom/>
      <diagonal/>
    </border>
    <border>
      <left style="dashed">
        <color rgb="FFFF0066"/>
      </left>
      <right style="dashed">
        <color rgb="FFFF0066"/>
      </right>
      <top style="dashed">
        <color rgb="FFFF0066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NumberFormat="1" applyBorder="1"/>
    <xf numFmtId="164" fontId="0" fillId="0" borderId="1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1" fillId="0" borderId="2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0" fillId="0" borderId="2" xfId="0" applyBorder="1"/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2" fillId="0" borderId="5" xfId="0" applyFont="1" applyBorder="1"/>
    <xf numFmtId="0" fontId="0" fillId="0" borderId="6" xfId="0" applyBorder="1"/>
    <xf numFmtId="0" fontId="0" fillId="4" borderId="6" xfId="0" applyFill="1" applyBorder="1"/>
    <xf numFmtId="0" fontId="3" fillId="4" borderId="6" xfId="0" applyFont="1" applyFill="1" applyBorder="1"/>
    <xf numFmtId="0" fontId="4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topLeftCell="A2" workbookViewId="0">
      <selection activeCell="F18" sqref="F18"/>
    </sheetView>
  </sheetViews>
  <sheetFormatPr defaultRowHeight="15" x14ac:dyDescent="0.25"/>
  <cols>
    <col min="2" max="2" width="4.7109375" customWidth="1"/>
    <col min="3" max="3" width="7.28515625" customWidth="1"/>
    <col min="4" max="4" width="18.28515625" customWidth="1"/>
    <col min="5" max="5" width="6.42578125" customWidth="1"/>
    <col min="6" max="6" width="21.42578125" customWidth="1"/>
    <col min="7" max="7" width="20" customWidth="1"/>
    <col min="8" max="8" width="22" customWidth="1"/>
    <col min="9" max="9" width="23.5703125" customWidth="1"/>
  </cols>
  <sheetData>
    <row r="1" spans="2:9" ht="23.25" x14ac:dyDescent="0.35">
      <c r="F1" s="22" t="s">
        <v>31</v>
      </c>
      <c r="G1" s="22"/>
      <c r="H1" s="22"/>
    </row>
    <row r="2" spans="2:9" x14ac:dyDescent="0.25">
      <c r="B2" s="1" t="s">
        <v>0</v>
      </c>
      <c r="C2" s="1" t="s">
        <v>1</v>
      </c>
      <c r="D2" s="1" t="s">
        <v>4</v>
      </c>
      <c r="E2" s="1" t="s">
        <v>2</v>
      </c>
      <c r="F2" s="1" t="s">
        <v>5</v>
      </c>
      <c r="G2" s="1" t="s">
        <v>3</v>
      </c>
      <c r="H2" s="1" t="s">
        <v>16</v>
      </c>
      <c r="I2" s="1" t="s">
        <v>17</v>
      </c>
    </row>
    <row r="3" spans="2:9" x14ac:dyDescent="0.25">
      <c r="B3" s="2">
        <v>1</v>
      </c>
      <c r="C3" s="1">
        <v>122124</v>
      </c>
      <c r="D3" s="1" t="s">
        <v>6</v>
      </c>
      <c r="E3" s="1">
        <v>3.1</v>
      </c>
      <c r="F3" s="3">
        <v>2500000</v>
      </c>
      <c r="G3" s="1">
        <v>1</v>
      </c>
      <c r="H3" s="3">
        <v>184485778</v>
      </c>
      <c r="I3" s="1" t="s">
        <v>18</v>
      </c>
    </row>
    <row r="4" spans="2:9" x14ac:dyDescent="0.25">
      <c r="B4" s="2">
        <v>2</v>
      </c>
      <c r="C4" s="1">
        <v>131005</v>
      </c>
      <c r="D4" s="1" t="s">
        <v>7</v>
      </c>
      <c r="E4" s="1">
        <v>3.5</v>
      </c>
      <c r="F4" s="3">
        <v>3670000</v>
      </c>
      <c r="G4" s="1">
        <v>2</v>
      </c>
      <c r="H4" s="3">
        <v>203896645</v>
      </c>
      <c r="I4" s="1" t="s">
        <v>18</v>
      </c>
    </row>
    <row r="5" spans="2:9" x14ac:dyDescent="0.25">
      <c r="B5" s="2">
        <v>3</v>
      </c>
      <c r="C5" s="1">
        <v>131132</v>
      </c>
      <c r="D5" s="1" t="s">
        <v>8</v>
      </c>
      <c r="E5" s="1">
        <v>3.9</v>
      </c>
      <c r="F5" s="3">
        <v>1500000</v>
      </c>
      <c r="G5" s="1">
        <v>4</v>
      </c>
      <c r="H5" s="3">
        <v>174682000</v>
      </c>
      <c r="I5" s="1" t="s">
        <v>19</v>
      </c>
    </row>
    <row r="6" spans="2:9" x14ac:dyDescent="0.25">
      <c r="B6" s="2">
        <v>4</v>
      </c>
      <c r="C6" s="1">
        <v>142004</v>
      </c>
      <c r="D6" s="1" t="s">
        <v>9</v>
      </c>
      <c r="E6" s="2">
        <v>3.9</v>
      </c>
      <c r="F6" s="3">
        <v>4500000</v>
      </c>
      <c r="G6" s="1">
        <v>3</v>
      </c>
      <c r="H6" s="3">
        <v>240093579</v>
      </c>
      <c r="I6" s="1" t="s">
        <v>19</v>
      </c>
    </row>
    <row r="7" spans="2:9" x14ac:dyDescent="0.25">
      <c r="B7" s="2">
        <v>5</v>
      </c>
      <c r="C7" s="1">
        <v>142218</v>
      </c>
      <c r="D7" s="1" t="s">
        <v>10</v>
      </c>
      <c r="E7" s="2">
        <v>3.7</v>
      </c>
      <c r="F7" s="3">
        <v>4700000</v>
      </c>
      <c r="G7" s="1">
        <v>3</v>
      </c>
      <c r="H7" s="3">
        <v>226081076</v>
      </c>
      <c r="I7" s="1" t="s">
        <v>19</v>
      </c>
    </row>
    <row r="8" spans="2:9" x14ac:dyDescent="0.25">
      <c r="B8" s="2">
        <v>6</v>
      </c>
      <c r="C8" s="1">
        <v>151145</v>
      </c>
      <c r="D8" s="1" t="s">
        <v>11</v>
      </c>
      <c r="E8" s="2">
        <v>3</v>
      </c>
      <c r="F8" s="3">
        <v>2000000</v>
      </c>
      <c r="G8" s="1">
        <v>6</v>
      </c>
      <c r="H8" s="3">
        <v>408296053</v>
      </c>
      <c r="I8" s="1" t="s">
        <v>18</v>
      </c>
    </row>
    <row r="9" spans="2:9" x14ac:dyDescent="0.25">
      <c r="B9" s="2">
        <v>7</v>
      </c>
      <c r="C9" s="1">
        <v>152015</v>
      </c>
      <c r="D9" s="1" t="s">
        <v>12</v>
      </c>
      <c r="E9" s="2">
        <v>3.7</v>
      </c>
      <c r="F9" s="3">
        <v>5600000</v>
      </c>
      <c r="G9" s="1">
        <v>2</v>
      </c>
      <c r="H9" s="3">
        <v>330754620</v>
      </c>
      <c r="I9" s="1" t="s">
        <v>18</v>
      </c>
    </row>
    <row r="10" spans="2:9" x14ac:dyDescent="0.25">
      <c r="B10" s="2">
        <v>8</v>
      </c>
      <c r="C10" s="1">
        <v>162201</v>
      </c>
      <c r="D10" s="1" t="s">
        <v>13</v>
      </c>
      <c r="E10" s="2">
        <v>3.8</v>
      </c>
      <c r="F10" s="3">
        <v>2600000</v>
      </c>
      <c r="G10" s="1">
        <v>1</v>
      </c>
      <c r="H10" s="3">
        <v>332686488</v>
      </c>
      <c r="I10" s="1" t="s">
        <v>18</v>
      </c>
    </row>
    <row r="11" spans="2:9" x14ac:dyDescent="0.25">
      <c r="B11" s="2">
        <v>9</v>
      </c>
      <c r="C11" s="1">
        <v>161006</v>
      </c>
      <c r="D11" s="1" t="s">
        <v>14</v>
      </c>
      <c r="E11" s="2">
        <v>3.9</v>
      </c>
      <c r="F11" s="3">
        <v>3000000</v>
      </c>
      <c r="G11" s="1">
        <v>7</v>
      </c>
      <c r="H11" s="3">
        <v>495673778</v>
      </c>
      <c r="I11" s="1" t="s">
        <v>19</v>
      </c>
    </row>
    <row r="12" spans="2:9" x14ac:dyDescent="0.25">
      <c r="B12" s="2">
        <v>10</v>
      </c>
      <c r="C12" s="1">
        <v>162098</v>
      </c>
      <c r="D12" s="1" t="s">
        <v>15</v>
      </c>
      <c r="E12" s="2">
        <v>2.9</v>
      </c>
      <c r="F12" s="3">
        <v>5200000</v>
      </c>
      <c r="G12" s="1">
        <v>2</v>
      </c>
      <c r="H12" s="3">
        <v>592648208</v>
      </c>
      <c r="I12" s="1" t="s">
        <v>19</v>
      </c>
    </row>
  </sheetData>
  <mergeCells count="1">
    <mergeCell ref="F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7"/>
  <sheetViews>
    <sheetView zoomScaleNormal="100" workbookViewId="0">
      <selection activeCell="G5" sqref="G5:G14"/>
    </sheetView>
  </sheetViews>
  <sheetFormatPr defaultRowHeight="15" x14ac:dyDescent="0.25"/>
  <cols>
    <col min="3" max="3" width="18.28515625" customWidth="1"/>
    <col min="4" max="4" width="20.5703125" customWidth="1"/>
    <col min="6" max="6" width="23.85546875" customWidth="1"/>
    <col min="7" max="7" width="20.28515625" customWidth="1"/>
    <col min="8" max="8" width="24" customWidth="1"/>
    <col min="9" max="9" width="26" customWidth="1"/>
    <col min="11" max="11" width="27" customWidth="1"/>
  </cols>
  <sheetData>
    <row r="1" spans="2:9" x14ac:dyDescent="0.25">
      <c r="D1" s="23" t="s">
        <v>31</v>
      </c>
      <c r="E1" s="23"/>
      <c r="F1" s="23"/>
      <c r="G1" s="23"/>
      <c r="H1" s="23"/>
    </row>
    <row r="2" spans="2:9" x14ac:dyDescent="0.25">
      <c r="D2" s="23"/>
      <c r="E2" s="23"/>
      <c r="F2" s="23"/>
      <c r="G2" s="23"/>
      <c r="H2" s="23"/>
    </row>
    <row r="4" spans="2:9" x14ac:dyDescent="0.25">
      <c r="B4" s="1" t="s">
        <v>0</v>
      </c>
      <c r="C4" s="1" t="s">
        <v>1</v>
      </c>
      <c r="D4" s="1" t="s">
        <v>4</v>
      </c>
      <c r="E4" s="1" t="s">
        <v>2</v>
      </c>
      <c r="F4" s="1" t="s">
        <v>5</v>
      </c>
      <c r="G4" s="1" t="s">
        <v>3</v>
      </c>
      <c r="H4" s="1" t="s">
        <v>16</v>
      </c>
      <c r="I4" s="1" t="s">
        <v>17</v>
      </c>
    </row>
    <row r="5" spans="2:9" x14ac:dyDescent="0.25">
      <c r="B5" s="2">
        <v>1</v>
      </c>
      <c r="C5" s="1">
        <v>122124</v>
      </c>
      <c r="D5" s="1" t="s">
        <v>6</v>
      </c>
      <c r="E5" s="1">
        <f>IF(Data!E3&gt;=3.5,20,IF(Data!E3&gt;=3,15,IF(Data!E3&gt;=2.75,10,5)))</f>
        <v>15</v>
      </c>
      <c r="F5" s="1">
        <f>IF(Data!F3&lt;2500000,20,IF(Data!F3&lt;3500000,15,IF(Data!F3&lt;5000000,10,5)))</f>
        <v>15</v>
      </c>
      <c r="G5" s="1">
        <f>IF(Data!G3&lt;=2,5,IF(Data!G3&lt;4,10,IF(Data!G3&lt;5,15,20)))</f>
        <v>5</v>
      </c>
      <c r="H5" s="3">
        <f>IF(Data!H3&lt;=200000000,20,IF(Data!H3&lt;=300000000,15,IF(Data!H3&lt;500000000,10,5)))</f>
        <v>20</v>
      </c>
      <c r="I5" s="1">
        <f>IF(Data!I3="Lengkap",20,10)</f>
        <v>20</v>
      </c>
    </row>
    <row r="6" spans="2:9" x14ac:dyDescent="0.25">
      <c r="B6" s="2">
        <v>2</v>
      </c>
      <c r="C6" s="1">
        <v>131005</v>
      </c>
      <c r="D6" s="1" t="s">
        <v>7</v>
      </c>
      <c r="E6" s="1">
        <f>IF(Data!E4&gt;=3.5,20,IF(Data!E4&gt;=3,15,IF(Data!E4&gt;=2.75,10,5)))</f>
        <v>20</v>
      </c>
      <c r="F6" s="1">
        <f>IF(Data!F4&lt;2500000,20,IF(Data!F4&lt;3500000,15,IF(Data!F4&lt;5000000,10,5)))</f>
        <v>10</v>
      </c>
      <c r="G6" s="1">
        <f>IF(Data!G4&lt;=2,5,IF(Data!G4&lt;4,10,IF(Data!G4&lt;5,15,20)))</f>
        <v>5</v>
      </c>
      <c r="H6" s="3">
        <f>IF(Data!H4&lt;=200000000,20,IF(Data!H4&lt;=300000000,15,IF(Data!H4&lt;500000000,10,5)))</f>
        <v>15</v>
      </c>
      <c r="I6" s="1">
        <f>IF(Data!I4="Lengkap",20,10)</f>
        <v>20</v>
      </c>
    </row>
    <row r="7" spans="2:9" x14ac:dyDescent="0.25">
      <c r="B7" s="2">
        <v>3</v>
      </c>
      <c r="C7" s="1">
        <v>131132</v>
      </c>
      <c r="D7" s="1" t="s">
        <v>8</v>
      </c>
      <c r="E7" s="1">
        <f>IF(Data!E5&gt;=3.5,20,IF(Data!E5&gt;=3,15,IF(Data!E5&gt;=2.75,10,5)))</f>
        <v>20</v>
      </c>
      <c r="F7" s="1">
        <f>IF(Data!F5&lt;2500000,20,IF(Data!F5&lt;3500000,15,IF(Data!F5&lt;5000000,10,5)))</f>
        <v>20</v>
      </c>
      <c r="G7" s="1">
        <f>IF(Data!G5&lt;=2,5,IF(Data!G5&lt;4,10,IF(Data!G5&lt;5,15,20)))</f>
        <v>15</v>
      </c>
      <c r="H7" s="3">
        <f>IF(Data!H5&lt;=200000000,20,IF(Data!H5&lt;=300000000,15,IF(Data!H5&lt;500000000,10,5)))</f>
        <v>20</v>
      </c>
      <c r="I7" s="1">
        <f>IF(Data!I5="Lengkap",20,10)</f>
        <v>10</v>
      </c>
    </row>
    <row r="8" spans="2:9" x14ac:dyDescent="0.25">
      <c r="B8" s="2">
        <v>4</v>
      </c>
      <c r="C8" s="1">
        <v>142004</v>
      </c>
      <c r="D8" s="1" t="s">
        <v>9</v>
      </c>
      <c r="E8" s="1">
        <f>IF(Data!E6&gt;=3.5,20,IF(Data!E6&gt;=3,15,IF(Data!E6&gt;=2.75,10,5)))</f>
        <v>20</v>
      </c>
      <c r="F8" s="1">
        <f>IF(Data!F6&lt;2500000,20,IF(Data!F6&lt;3500000,15,IF(Data!F6&lt;5000000,10,5)))</f>
        <v>10</v>
      </c>
      <c r="G8" s="1">
        <f>IF(Data!G6&lt;=2,5,IF(Data!G6&lt;4,10,IF(Data!G6&lt;5,15,20)))</f>
        <v>10</v>
      </c>
      <c r="H8" s="3">
        <f>IF(Data!H6&lt;=200000000,20,IF(Data!H6&lt;=300000000,15,IF(Data!H6&lt;500000000,10,5)))</f>
        <v>15</v>
      </c>
      <c r="I8" s="1">
        <f>IF(Data!I6="Lengkap",20,10)</f>
        <v>10</v>
      </c>
    </row>
    <row r="9" spans="2:9" x14ac:dyDescent="0.25">
      <c r="B9" s="2">
        <v>5</v>
      </c>
      <c r="C9" s="1">
        <v>142218</v>
      </c>
      <c r="D9" s="1" t="s">
        <v>10</v>
      </c>
      <c r="E9" s="1">
        <f>IF(Data!E7&gt;=3.5,20,IF(Data!E7&gt;=3,15,IF(Data!E7&gt;=2.75,10,5)))</f>
        <v>20</v>
      </c>
      <c r="F9" s="1">
        <f>IF(Data!F7&lt;2500000,20,IF(Data!F7&lt;3500000,15,IF(Data!F7&lt;5000000,10,5)))</f>
        <v>10</v>
      </c>
      <c r="G9" s="1">
        <f>IF(Data!G7&lt;=2,5,IF(Data!G7&lt;4,10,IF(Data!G7&lt;5,15,20)))</f>
        <v>10</v>
      </c>
      <c r="H9" s="3">
        <f>IF(Data!H7&lt;=200000000,20,IF(Data!H7&lt;=300000000,15,IF(Data!H7&lt;500000000,10,5)))</f>
        <v>15</v>
      </c>
      <c r="I9" s="1">
        <f>IF(Data!I7="Lengkap",20,10)</f>
        <v>10</v>
      </c>
    </row>
    <row r="10" spans="2:9" x14ac:dyDescent="0.25">
      <c r="B10" s="2">
        <v>6</v>
      </c>
      <c r="C10" s="1">
        <v>151145</v>
      </c>
      <c r="D10" s="1" t="s">
        <v>11</v>
      </c>
      <c r="E10" s="1">
        <f>IF(Data!E8&gt;=3.5,20,IF(Data!E8&gt;=3,15,IF(Data!E8&gt;=2.75,10,5)))</f>
        <v>15</v>
      </c>
      <c r="F10" s="1">
        <f>IF(Data!F8&lt;2500000,20,IF(Data!F8&lt;3500000,15,IF(Data!F8&lt;5000000,10,5)))</f>
        <v>20</v>
      </c>
      <c r="G10" s="1">
        <f>IF(Data!G8&lt;=2,5,IF(Data!G8&lt;4,10,IF(Data!G8&lt;5,15,20)))</f>
        <v>20</v>
      </c>
      <c r="H10" s="3">
        <f>IF(Data!H8&lt;=200000000,20,IF(Data!H8&lt;=300000000,15,IF(Data!H8&lt;500000000,10,5)))</f>
        <v>10</v>
      </c>
      <c r="I10" s="1">
        <f>IF(Data!I8="Lengkap",20,10)</f>
        <v>20</v>
      </c>
    </row>
    <row r="11" spans="2:9" x14ac:dyDescent="0.25">
      <c r="B11" s="2">
        <v>7</v>
      </c>
      <c r="C11" s="1">
        <v>152015</v>
      </c>
      <c r="D11" s="1" t="s">
        <v>12</v>
      </c>
      <c r="E11" s="1">
        <f>IF(Data!E9&gt;=3.5,20,IF(Data!E9&gt;=3,15,IF(Data!E9&gt;=2.75,10,5)))</f>
        <v>20</v>
      </c>
      <c r="F11" s="1">
        <f>IF(Data!F9&lt;2500000,20,IF(Data!F9&lt;3500000,15,IF(Data!F9&lt;5000000,10,5)))</f>
        <v>5</v>
      </c>
      <c r="G11" s="1">
        <f>IF(Data!G9&lt;=2,5,IF(Data!G9&lt;4,10,IF(Data!G9&lt;5,15,20)))</f>
        <v>5</v>
      </c>
      <c r="H11" s="3">
        <f>IF(Data!H9&lt;=200000000,20,IF(Data!H9&lt;=300000000,15,IF(Data!H9&lt;500000000,10,5)))</f>
        <v>10</v>
      </c>
      <c r="I11" s="1">
        <f>IF(Data!I9="Lengkap",20,10)</f>
        <v>20</v>
      </c>
    </row>
    <row r="12" spans="2:9" x14ac:dyDescent="0.25">
      <c r="B12" s="2">
        <v>8</v>
      </c>
      <c r="C12" s="1">
        <v>162201</v>
      </c>
      <c r="D12" s="1" t="s">
        <v>13</v>
      </c>
      <c r="E12" s="1">
        <f>IF(Data!E10&gt;=3.5,20,IF(Data!E10&gt;=3,15,IF(Data!E10&gt;=2.75,10,5)))</f>
        <v>20</v>
      </c>
      <c r="F12" s="1">
        <f>IF(Data!F10&lt;2500000,20,IF(Data!F10&lt;3500000,15,IF(Data!F10&lt;5000000,10,5)))</f>
        <v>15</v>
      </c>
      <c r="G12" s="1">
        <f>IF(Data!G10&lt;=2,5,IF(Data!G10&lt;4,10,IF(Data!G10&lt;5,15,20)))</f>
        <v>5</v>
      </c>
      <c r="H12" s="3">
        <f>IF(Data!H10&lt;=200000000,20,IF(Data!H10&lt;=300000000,15,IF(Data!H10&lt;500000000,10,5)))</f>
        <v>10</v>
      </c>
      <c r="I12" s="1">
        <f>IF(Data!I10="Lengkap",20,10)</f>
        <v>20</v>
      </c>
    </row>
    <row r="13" spans="2:9" x14ac:dyDescent="0.25">
      <c r="B13" s="2">
        <v>9</v>
      </c>
      <c r="C13" s="1">
        <v>161006</v>
      </c>
      <c r="D13" s="1" t="s">
        <v>14</v>
      </c>
      <c r="E13" s="1">
        <f>IF(Data!E11&gt;=3.5,20,IF(Data!E11&gt;=3,15,IF(Data!E11&gt;=2.75,10,5)))</f>
        <v>20</v>
      </c>
      <c r="F13" s="1">
        <f>IF(Data!F11&lt;2500000,20,IF(Data!F11&lt;3500000,15,IF(Data!F11&lt;5000000,10,5)))</f>
        <v>15</v>
      </c>
      <c r="G13" s="1">
        <f>IF(Data!G11&lt;=2,5,IF(Data!G11&lt;4,10,IF(Data!G11&lt;5,15,20)))</f>
        <v>20</v>
      </c>
      <c r="H13" s="3">
        <f>IF(Data!H11&lt;=200000000,20,IF(Data!H11&lt;=300000000,15,IF(Data!H11&lt;500000000,10,5)))</f>
        <v>10</v>
      </c>
      <c r="I13" s="1">
        <f>IF(Data!I11="Lengkap",20,10)</f>
        <v>10</v>
      </c>
    </row>
    <row r="14" spans="2:9" x14ac:dyDescent="0.25">
      <c r="B14" s="2">
        <v>10</v>
      </c>
      <c r="C14" s="1">
        <v>162098</v>
      </c>
      <c r="D14" s="1" t="s">
        <v>15</v>
      </c>
      <c r="E14" s="1">
        <f>IF(Data!E12&gt;=3.5,20,IF(Data!E12&gt;=3,15,IF(Data!E12&gt;=2.75,10,5)))</f>
        <v>10</v>
      </c>
      <c r="F14" s="1">
        <f>IF(Data!F12&lt;2500000,20,IF(Data!F12&lt;3500000,15,IF(Data!F12&lt;5000000,10,5)))</f>
        <v>5</v>
      </c>
      <c r="G14" s="1">
        <f>IF(Data!G12&lt;=2,5,IF(Data!G12&lt;4,10,IF(Data!G12&lt;5,15,20)))</f>
        <v>5</v>
      </c>
      <c r="H14" s="3">
        <f>IF(Data!H12&lt;=200000000,20,IF(Data!H12&lt;=300000000,15,IF(Data!H12&lt;500000000,10,5)))</f>
        <v>5</v>
      </c>
      <c r="I14" s="1">
        <f>IF(Data!I12="Lengkap",20,10)</f>
        <v>10</v>
      </c>
    </row>
    <row r="17" spans="2:12" x14ac:dyDescent="0.25">
      <c r="B17" s="1" t="s">
        <v>32</v>
      </c>
      <c r="C17" s="1" t="s">
        <v>2</v>
      </c>
      <c r="D17" s="1" t="s">
        <v>33</v>
      </c>
      <c r="F17" s="1" t="s">
        <v>32</v>
      </c>
      <c r="G17" s="1" t="s">
        <v>43</v>
      </c>
      <c r="H17" s="1" t="s">
        <v>33</v>
      </c>
      <c r="J17" s="1" t="s">
        <v>32</v>
      </c>
      <c r="K17" s="1" t="s">
        <v>51</v>
      </c>
      <c r="L17" s="1" t="s">
        <v>33</v>
      </c>
    </row>
    <row r="18" spans="2:12" x14ac:dyDescent="0.25">
      <c r="B18" s="1">
        <v>1</v>
      </c>
      <c r="C18" s="1" t="s">
        <v>34</v>
      </c>
      <c r="D18" s="1">
        <v>20</v>
      </c>
      <c r="F18" s="1">
        <v>1</v>
      </c>
      <c r="G18" s="1" t="s">
        <v>38</v>
      </c>
      <c r="H18" s="1">
        <v>20</v>
      </c>
      <c r="J18" s="1">
        <v>1</v>
      </c>
      <c r="K18" s="1" t="s">
        <v>18</v>
      </c>
      <c r="L18" s="1">
        <v>20</v>
      </c>
    </row>
    <row r="19" spans="2:12" x14ac:dyDescent="0.25">
      <c r="B19" s="1">
        <v>2</v>
      </c>
      <c r="C19" s="1" t="s">
        <v>35</v>
      </c>
      <c r="D19" s="1">
        <v>15</v>
      </c>
      <c r="F19" s="1">
        <v>2</v>
      </c>
      <c r="G19" s="1" t="s">
        <v>39</v>
      </c>
      <c r="H19" s="1">
        <v>15</v>
      </c>
      <c r="J19" s="1">
        <v>2</v>
      </c>
      <c r="K19" s="1" t="s">
        <v>19</v>
      </c>
      <c r="L19" s="1">
        <v>10</v>
      </c>
    </row>
    <row r="20" spans="2:12" x14ac:dyDescent="0.25">
      <c r="B20" s="1">
        <v>3</v>
      </c>
      <c r="C20" s="1" t="s">
        <v>36</v>
      </c>
      <c r="D20" s="1">
        <v>10</v>
      </c>
      <c r="F20" s="1">
        <v>3</v>
      </c>
      <c r="G20" s="1" t="s">
        <v>40</v>
      </c>
      <c r="H20" s="1">
        <v>10</v>
      </c>
      <c r="J20" s="4"/>
      <c r="K20" s="4"/>
      <c r="L20" s="4"/>
    </row>
    <row r="21" spans="2:12" x14ac:dyDescent="0.25">
      <c r="B21" s="1">
        <v>4</v>
      </c>
      <c r="C21" s="1" t="s">
        <v>37</v>
      </c>
      <c r="D21" s="1">
        <v>5</v>
      </c>
      <c r="F21" s="1">
        <v>4</v>
      </c>
      <c r="G21" s="1" t="s">
        <v>41</v>
      </c>
      <c r="H21" s="1">
        <v>5</v>
      </c>
      <c r="J21" s="4"/>
      <c r="K21" s="4"/>
      <c r="L21" s="4"/>
    </row>
    <row r="23" spans="2:12" x14ac:dyDescent="0.25">
      <c r="B23" s="1" t="s">
        <v>32</v>
      </c>
      <c r="C23" s="1" t="s">
        <v>16</v>
      </c>
      <c r="D23" s="1" t="s">
        <v>33</v>
      </c>
      <c r="F23" s="1" t="s">
        <v>32</v>
      </c>
      <c r="G23" s="1" t="s">
        <v>42</v>
      </c>
      <c r="H23" s="1" t="s">
        <v>33</v>
      </c>
    </row>
    <row r="24" spans="2:12" x14ac:dyDescent="0.25">
      <c r="B24" s="1">
        <v>1</v>
      </c>
      <c r="C24" s="1" t="s">
        <v>44</v>
      </c>
      <c r="D24" s="1">
        <v>20</v>
      </c>
      <c r="F24" s="1">
        <v>1</v>
      </c>
      <c r="G24" s="1" t="s">
        <v>47</v>
      </c>
      <c r="H24" s="1">
        <v>20</v>
      </c>
    </row>
    <row r="25" spans="2:12" x14ac:dyDescent="0.25">
      <c r="B25" s="1">
        <v>2</v>
      </c>
      <c r="C25" s="1" t="s">
        <v>45</v>
      </c>
      <c r="D25" s="1">
        <v>15</v>
      </c>
      <c r="F25" s="1">
        <v>2</v>
      </c>
      <c r="G25" s="1" t="s">
        <v>48</v>
      </c>
      <c r="H25" s="1">
        <v>15</v>
      </c>
    </row>
    <row r="26" spans="2:12" x14ac:dyDescent="0.25">
      <c r="B26" s="1">
        <v>3</v>
      </c>
      <c r="C26" s="1" t="s">
        <v>46</v>
      </c>
      <c r="D26" s="1">
        <v>10</v>
      </c>
      <c r="F26" s="1">
        <v>3</v>
      </c>
      <c r="G26" s="1" t="s">
        <v>49</v>
      </c>
      <c r="H26" s="1">
        <v>10</v>
      </c>
    </row>
    <row r="27" spans="2:12" x14ac:dyDescent="0.25">
      <c r="B27" s="1">
        <v>4</v>
      </c>
      <c r="C27" s="1" t="s">
        <v>52</v>
      </c>
      <c r="D27" s="1">
        <v>5</v>
      </c>
      <c r="F27" s="1">
        <v>4</v>
      </c>
      <c r="G27" s="1" t="s">
        <v>50</v>
      </c>
      <c r="H27" s="1">
        <v>5</v>
      </c>
    </row>
  </sheetData>
  <mergeCells count="1">
    <mergeCell ref="D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abSelected="1" workbookViewId="0">
      <selection activeCell="E17" sqref="E17"/>
    </sheetView>
  </sheetViews>
  <sheetFormatPr defaultRowHeight="15" x14ac:dyDescent="0.25"/>
  <cols>
    <col min="2" max="2" width="25.7109375" customWidth="1"/>
    <col min="3" max="3" width="31.42578125" customWidth="1"/>
    <col min="4" max="4" width="20.85546875" customWidth="1"/>
    <col min="5" max="5" width="28.42578125" customWidth="1"/>
    <col min="6" max="6" width="33.140625" customWidth="1"/>
    <col min="7" max="7" width="27.140625" customWidth="1"/>
    <col min="8" max="8" width="28.42578125" customWidth="1"/>
  </cols>
  <sheetData>
    <row r="1" spans="2:9" x14ac:dyDescent="0.25">
      <c r="C1" s="23" t="s">
        <v>31</v>
      </c>
      <c r="D1" s="23"/>
      <c r="E1" s="23"/>
      <c r="F1" s="23"/>
    </row>
    <row r="2" spans="2:9" x14ac:dyDescent="0.25">
      <c r="C2" s="23"/>
      <c r="D2" s="23"/>
      <c r="E2" s="23"/>
      <c r="F2" s="23"/>
    </row>
    <row r="4" spans="2:9" ht="17.25" x14ac:dyDescent="0.3">
      <c r="B4" s="9" t="s">
        <v>20</v>
      </c>
      <c r="C4" s="9" t="s">
        <v>21</v>
      </c>
      <c r="D4" s="9" t="s">
        <v>22</v>
      </c>
      <c r="E4" s="9" t="s">
        <v>22</v>
      </c>
      <c r="F4" s="9" t="s">
        <v>22</v>
      </c>
      <c r="G4" s="9" t="s">
        <v>22</v>
      </c>
      <c r="H4" s="6"/>
      <c r="I4" s="7"/>
    </row>
    <row r="5" spans="2:9" ht="15.75" x14ac:dyDescent="0.25">
      <c r="B5" s="10" t="s">
        <v>23</v>
      </c>
      <c r="C5" s="10">
        <v>20</v>
      </c>
      <c r="D5" s="10">
        <v>30</v>
      </c>
      <c r="E5" s="10">
        <v>20</v>
      </c>
      <c r="F5" s="10">
        <v>10</v>
      </c>
      <c r="G5" s="10">
        <v>20</v>
      </c>
      <c r="H5" s="8">
        <f>SUM(C5:G5)</f>
        <v>100</v>
      </c>
      <c r="I5" s="7"/>
    </row>
    <row r="6" spans="2:9" ht="15.75" x14ac:dyDescent="0.25">
      <c r="B6" s="11" t="s">
        <v>27</v>
      </c>
      <c r="C6" s="12" t="s">
        <v>16</v>
      </c>
      <c r="D6" s="12" t="s">
        <v>2</v>
      </c>
      <c r="E6" s="12" t="s">
        <v>25</v>
      </c>
      <c r="F6" s="12" t="s">
        <v>17</v>
      </c>
      <c r="G6" s="12" t="s">
        <v>26</v>
      </c>
      <c r="H6" s="5"/>
      <c r="I6" s="7"/>
    </row>
    <row r="7" spans="2:9" ht="15.75" x14ac:dyDescent="0.25">
      <c r="B7" s="13" t="s">
        <v>6</v>
      </c>
      <c r="C7" s="14">
        <v>20</v>
      </c>
      <c r="D7" s="14">
        <v>15</v>
      </c>
      <c r="E7" s="14">
        <v>15</v>
      </c>
      <c r="F7" s="14">
        <v>20</v>
      </c>
      <c r="G7" s="14">
        <v>5</v>
      </c>
      <c r="H7" s="5"/>
      <c r="I7" s="7"/>
    </row>
    <row r="8" spans="2:9" ht="15.75" x14ac:dyDescent="0.25">
      <c r="B8" s="13" t="s">
        <v>7</v>
      </c>
      <c r="C8" s="14">
        <v>15</v>
      </c>
      <c r="D8" s="14">
        <v>20</v>
      </c>
      <c r="E8" s="14">
        <v>10</v>
      </c>
      <c r="F8" s="14">
        <v>20</v>
      </c>
      <c r="G8" s="14">
        <v>5</v>
      </c>
      <c r="H8" s="5"/>
      <c r="I8" s="7"/>
    </row>
    <row r="9" spans="2:9" ht="15.75" x14ac:dyDescent="0.25">
      <c r="B9" s="13" t="s">
        <v>8</v>
      </c>
      <c r="C9" s="14">
        <v>20</v>
      </c>
      <c r="D9" s="14">
        <v>20</v>
      </c>
      <c r="E9" s="14">
        <v>20</v>
      </c>
      <c r="F9" s="14">
        <v>10</v>
      </c>
      <c r="G9" s="14">
        <v>15</v>
      </c>
      <c r="H9" s="5"/>
      <c r="I9" s="7"/>
    </row>
    <row r="10" spans="2:9" ht="15.75" x14ac:dyDescent="0.25">
      <c r="B10" s="13" t="s">
        <v>9</v>
      </c>
      <c r="C10" s="14">
        <v>15</v>
      </c>
      <c r="D10" s="14">
        <v>20</v>
      </c>
      <c r="E10" s="14">
        <v>10</v>
      </c>
      <c r="F10" s="14">
        <v>10</v>
      </c>
      <c r="G10" s="14">
        <v>10</v>
      </c>
      <c r="H10" s="5"/>
      <c r="I10" s="7"/>
    </row>
    <row r="11" spans="2:9" ht="15.75" x14ac:dyDescent="0.25">
      <c r="B11" s="13" t="s">
        <v>10</v>
      </c>
      <c r="C11" s="14">
        <v>15</v>
      </c>
      <c r="D11" s="14">
        <v>20</v>
      </c>
      <c r="E11" s="14">
        <v>10</v>
      </c>
      <c r="F11" s="14">
        <v>10</v>
      </c>
      <c r="G11" s="14">
        <v>10</v>
      </c>
      <c r="H11" s="7"/>
      <c r="I11" s="7"/>
    </row>
    <row r="12" spans="2:9" ht="15.75" x14ac:dyDescent="0.25">
      <c r="B12" s="13" t="s">
        <v>11</v>
      </c>
      <c r="C12" s="14">
        <v>10</v>
      </c>
      <c r="D12" s="14">
        <v>15</v>
      </c>
      <c r="E12" s="14">
        <v>20</v>
      </c>
      <c r="F12" s="14">
        <v>20</v>
      </c>
      <c r="G12" s="14">
        <v>20</v>
      </c>
      <c r="H12" s="7"/>
      <c r="I12" s="7"/>
    </row>
    <row r="13" spans="2:9" ht="15.75" x14ac:dyDescent="0.25">
      <c r="B13" s="13" t="s">
        <v>12</v>
      </c>
      <c r="C13" s="14">
        <v>10</v>
      </c>
      <c r="D13" s="14">
        <v>20</v>
      </c>
      <c r="E13" s="14">
        <v>5</v>
      </c>
      <c r="F13" s="14">
        <v>20</v>
      </c>
      <c r="G13" s="14">
        <v>5</v>
      </c>
      <c r="H13" s="7"/>
      <c r="I13" s="7"/>
    </row>
    <row r="14" spans="2:9" ht="15.75" x14ac:dyDescent="0.25">
      <c r="B14" s="13" t="s">
        <v>13</v>
      </c>
      <c r="C14" s="14">
        <v>10</v>
      </c>
      <c r="D14" s="14">
        <v>20</v>
      </c>
      <c r="E14" s="14">
        <v>15</v>
      </c>
      <c r="F14" s="14">
        <v>20</v>
      </c>
      <c r="G14" s="14">
        <v>5</v>
      </c>
    </row>
    <row r="15" spans="2:9" ht="15.75" x14ac:dyDescent="0.25">
      <c r="B15" s="13" t="s">
        <v>14</v>
      </c>
      <c r="C15" s="14">
        <v>10</v>
      </c>
      <c r="D15" s="14">
        <v>20</v>
      </c>
      <c r="E15" s="14">
        <v>15</v>
      </c>
      <c r="F15" s="14">
        <v>10</v>
      </c>
      <c r="G15" s="14">
        <v>20</v>
      </c>
    </row>
    <row r="16" spans="2:9" ht="15.75" x14ac:dyDescent="0.25">
      <c r="B16" s="13" t="s">
        <v>15</v>
      </c>
      <c r="C16" s="14">
        <v>5</v>
      </c>
      <c r="D16" s="14">
        <v>10</v>
      </c>
      <c r="E16" s="14">
        <v>5</v>
      </c>
      <c r="F16" s="14">
        <v>10</v>
      </c>
      <c r="G16" s="14">
        <v>5</v>
      </c>
    </row>
    <row r="17" spans="2:8" ht="15.75" x14ac:dyDescent="0.25">
      <c r="B17" s="16" t="s">
        <v>28</v>
      </c>
      <c r="C17" s="17">
        <f>IF(C$4="cost",MIN(C$7:C$16),MAX(C$7:C$16))</f>
        <v>5</v>
      </c>
      <c r="D17" s="17">
        <f>IF(D$4="cost",MIN(D$7:D$16),MAX(D$7:D$16))</f>
        <v>20</v>
      </c>
      <c r="E17" s="17">
        <f>IF(E$4="cost",MIN(E$7:E$16),MAX(E$7:E$16))</f>
        <v>20</v>
      </c>
      <c r="F17" s="17">
        <f>IF(F$4="cost",MIN(F$7:F$16),MAX(F$7:F$16))</f>
        <v>20</v>
      </c>
      <c r="G17" s="17">
        <f>IF(G$4="cost",MIN(G$7:G$16),MAX(G$7:G$16))</f>
        <v>20</v>
      </c>
    </row>
    <row r="18" spans="2:8" ht="15.75" x14ac:dyDescent="0.25">
      <c r="B18" s="24" t="s">
        <v>24</v>
      </c>
      <c r="C18" s="18">
        <f>IF(C$4="cost",MIN(C$7:C$16)/C7,C7/MAX(C$7:C$16))</f>
        <v>0.25</v>
      </c>
      <c r="D18" s="18">
        <f>IF(D$4="cost",MIN(D$7:D$16)/D7,D7/MAX(D$7:D$16))</f>
        <v>0.75</v>
      </c>
      <c r="E18" s="18">
        <f>IF(E$4="cost",MIN(E$7:E$16)/E7,E7/MAX(E$7:E$16))</f>
        <v>0.75</v>
      </c>
      <c r="F18" s="18">
        <f>IF(F$4="cost",MIN(F$7:F$16)/F7,F7/MAX(F$7:F$16))</f>
        <v>1</v>
      </c>
      <c r="G18" s="18">
        <f>IF(G$4="cost",MIN(G$7:G$16)/G7,G7/MAX(G$7:G$16))</f>
        <v>0.25</v>
      </c>
    </row>
    <row r="19" spans="2:8" ht="15.75" x14ac:dyDescent="0.25">
      <c r="B19" s="24"/>
      <c r="C19" s="18">
        <f t="shared" ref="C19:C27" si="0">IF(C$4="cost",MIN(C$7:C$16)/C8,C8/MAX(C$7:C$16))</f>
        <v>0.33333333333333331</v>
      </c>
      <c r="D19" s="18">
        <f t="shared" ref="D19:E27" si="1">IF(D$4="cost",MIN(D$7:D$16)/D8,D8/MAX(D$7:D$16))</f>
        <v>1</v>
      </c>
      <c r="E19" s="18">
        <f t="shared" si="1"/>
        <v>0.5</v>
      </c>
      <c r="F19" s="18">
        <f t="shared" ref="F19:G27" si="2">IF(F$4="cost",MIN(F$7:F$16)/F8,F8/MAX(F$7:F$16))</f>
        <v>1</v>
      </c>
      <c r="G19" s="18">
        <f t="shared" si="2"/>
        <v>0.25</v>
      </c>
    </row>
    <row r="20" spans="2:8" ht="15.75" x14ac:dyDescent="0.25">
      <c r="B20" s="24"/>
      <c r="C20" s="18">
        <f t="shared" si="0"/>
        <v>0.25</v>
      </c>
      <c r="D20" s="18">
        <f t="shared" si="1"/>
        <v>1</v>
      </c>
      <c r="E20" s="18">
        <f t="shared" si="1"/>
        <v>1</v>
      </c>
      <c r="F20" s="18">
        <f t="shared" si="2"/>
        <v>0.5</v>
      </c>
      <c r="G20" s="18">
        <f t="shared" si="2"/>
        <v>0.75</v>
      </c>
    </row>
    <row r="21" spans="2:8" ht="15.75" x14ac:dyDescent="0.25">
      <c r="B21" s="24"/>
      <c r="C21" s="18">
        <f t="shared" si="0"/>
        <v>0.33333333333333331</v>
      </c>
      <c r="D21" s="18">
        <f t="shared" si="1"/>
        <v>1</v>
      </c>
      <c r="E21" s="18">
        <f t="shared" si="1"/>
        <v>0.5</v>
      </c>
      <c r="F21" s="18">
        <f t="shared" si="2"/>
        <v>0.5</v>
      </c>
      <c r="G21" s="18">
        <f t="shared" si="2"/>
        <v>0.5</v>
      </c>
    </row>
    <row r="22" spans="2:8" ht="15.75" x14ac:dyDescent="0.25">
      <c r="B22" s="24"/>
      <c r="C22" s="18">
        <f t="shared" si="0"/>
        <v>0.33333333333333331</v>
      </c>
      <c r="D22" s="18">
        <f t="shared" si="1"/>
        <v>1</v>
      </c>
      <c r="E22" s="18">
        <f t="shared" si="1"/>
        <v>0.5</v>
      </c>
      <c r="F22" s="18">
        <f t="shared" si="2"/>
        <v>0.5</v>
      </c>
      <c r="G22" s="18">
        <f t="shared" si="2"/>
        <v>0.5</v>
      </c>
    </row>
    <row r="23" spans="2:8" ht="15.75" x14ac:dyDescent="0.25">
      <c r="B23" s="24"/>
      <c r="C23" s="18">
        <f t="shared" si="0"/>
        <v>0.5</v>
      </c>
      <c r="D23" s="18">
        <f t="shared" si="1"/>
        <v>0.75</v>
      </c>
      <c r="E23" s="18">
        <f t="shared" si="1"/>
        <v>1</v>
      </c>
      <c r="F23" s="18">
        <f t="shared" si="2"/>
        <v>1</v>
      </c>
      <c r="G23" s="18">
        <f t="shared" si="2"/>
        <v>1</v>
      </c>
    </row>
    <row r="24" spans="2:8" ht="15.75" x14ac:dyDescent="0.25">
      <c r="B24" s="24"/>
      <c r="C24" s="18">
        <f t="shared" si="0"/>
        <v>0.5</v>
      </c>
      <c r="D24" s="18">
        <f t="shared" si="1"/>
        <v>1</v>
      </c>
      <c r="E24" s="18">
        <f t="shared" si="1"/>
        <v>0.25</v>
      </c>
      <c r="F24" s="18">
        <f t="shared" si="2"/>
        <v>1</v>
      </c>
      <c r="G24" s="18">
        <f t="shared" si="2"/>
        <v>0.25</v>
      </c>
      <c r="H24" s="15"/>
    </row>
    <row r="25" spans="2:8" ht="15.75" x14ac:dyDescent="0.25">
      <c r="B25" s="24"/>
      <c r="C25" s="18">
        <f t="shared" si="0"/>
        <v>0.5</v>
      </c>
      <c r="D25" s="18">
        <f t="shared" si="1"/>
        <v>1</v>
      </c>
      <c r="E25" s="18">
        <f t="shared" si="1"/>
        <v>0.75</v>
      </c>
      <c r="F25" s="18">
        <f t="shared" si="2"/>
        <v>1</v>
      </c>
      <c r="G25" s="18">
        <f t="shared" si="2"/>
        <v>0.25</v>
      </c>
      <c r="H25" s="8"/>
    </row>
    <row r="26" spans="2:8" ht="15.75" x14ac:dyDescent="0.25">
      <c r="B26" s="24"/>
      <c r="C26" s="18">
        <f t="shared" si="0"/>
        <v>0.5</v>
      </c>
      <c r="D26" s="18">
        <f t="shared" si="1"/>
        <v>1</v>
      </c>
      <c r="E26" s="18">
        <f t="shared" si="1"/>
        <v>0.75</v>
      </c>
      <c r="F26" s="18">
        <f t="shared" si="2"/>
        <v>0.5</v>
      </c>
      <c r="G26" s="18">
        <f t="shared" si="2"/>
        <v>1</v>
      </c>
      <c r="H26" s="8"/>
    </row>
    <row r="27" spans="2:8" ht="15.75" x14ac:dyDescent="0.25">
      <c r="B27" s="24"/>
      <c r="C27" s="18">
        <f t="shared" si="0"/>
        <v>1</v>
      </c>
      <c r="D27" s="18">
        <f t="shared" si="1"/>
        <v>0.5</v>
      </c>
      <c r="E27" s="18">
        <f t="shared" si="1"/>
        <v>0.25</v>
      </c>
      <c r="F27" s="18">
        <f t="shared" si="2"/>
        <v>0.5</v>
      </c>
      <c r="G27" s="18">
        <f t="shared" si="2"/>
        <v>0.25</v>
      </c>
      <c r="H27" s="8"/>
    </row>
    <row r="28" spans="2:8" ht="15.75" x14ac:dyDescent="0.25">
      <c r="B28" s="4"/>
      <c r="C28" s="4"/>
      <c r="F28" s="8"/>
      <c r="G28" s="8"/>
      <c r="H28" s="8"/>
    </row>
    <row r="29" spans="2:8" ht="15.75" x14ac:dyDescent="0.25">
      <c r="B29" s="20" t="s">
        <v>4</v>
      </c>
      <c r="C29" s="21" t="s">
        <v>29</v>
      </c>
      <c r="F29" s="8"/>
      <c r="G29" s="8"/>
      <c r="H29" s="8"/>
    </row>
    <row r="30" spans="2:8" ht="15.75" x14ac:dyDescent="0.25">
      <c r="B30" s="19" t="s">
        <v>6</v>
      </c>
      <c r="C30" s="19">
        <f>(C$5*C18)+(D$5*D18)+(E$5*E18)+(F$5*F18)+(G$5*G18)</f>
        <v>57.5</v>
      </c>
      <c r="E30" s="25" t="s">
        <v>30</v>
      </c>
      <c r="F30" s="26"/>
      <c r="G30" s="8"/>
      <c r="H30" s="8"/>
    </row>
    <row r="31" spans="2:8" x14ac:dyDescent="0.25">
      <c r="B31" s="19" t="s">
        <v>7</v>
      </c>
      <c r="C31" s="19">
        <f>(C$5*C19)+(D$5*D19)+(E$5*E19)+(F$5*F19)+(G$5*G19)</f>
        <v>61.666666666666664</v>
      </c>
      <c r="E31" s="19" t="s">
        <v>11</v>
      </c>
      <c r="F31" s="19">
        <f>(C$5*C23)+(D$5*D23)+(E$5*E23)+(F$5*F23)+(G$5*G23)</f>
        <v>82.5</v>
      </c>
    </row>
    <row r="32" spans="2:8" x14ac:dyDescent="0.25">
      <c r="B32" s="19" t="s">
        <v>8</v>
      </c>
      <c r="C32" s="19">
        <f t="shared" ref="C32:C39" si="3">(C$5*C20)+(D$5*D20)+(E$5*E20)+(F$5*F20)+(G$5*G20)</f>
        <v>75</v>
      </c>
    </row>
    <row r="33" spans="2:3" x14ac:dyDescent="0.25">
      <c r="B33" s="19" t="s">
        <v>9</v>
      </c>
      <c r="C33" s="19">
        <f t="shared" si="3"/>
        <v>61.666666666666664</v>
      </c>
    </row>
    <row r="34" spans="2:3" x14ac:dyDescent="0.25">
      <c r="B34" s="19" t="s">
        <v>10</v>
      </c>
      <c r="C34" s="19">
        <f t="shared" si="3"/>
        <v>61.666666666666664</v>
      </c>
    </row>
    <row r="35" spans="2:3" x14ac:dyDescent="0.25">
      <c r="B35" s="19" t="s">
        <v>11</v>
      </c>
      <c r="C35" s="19">
        <f>(C$5*C23)+(D$5*D23)+(E$5*E23)+(F$5*F23)+(G$5*G23)</f>
        <v>82.5</v>
      </c>
    </row>
    <row r="36" spans="2:3" x14ac:dyDescent="0.25">
      <c r="B36" s="19" t="s">
        <v>12</v>
      </c>
      <c r="C36" s="19">
        <f t="shared" si="3"/>
        <v>60</v>
      </c>
    </row>
    <row r="37" spans="2:3" x14ac:dyDescent="0.25">
      <c r="B37" s="19" t="s">
        <v>13</v>
      </c>
      <c r="C37" s="19">
        <f t="shared" si="3"/>
        <v>70</v>
      </c>
    </row>
    <row r="38" spans="2:3" x14ac:dyDescent="0.25">
      <c r="B38" s="19" t="s">
        <v>14</v>
      </c>
      <c r="C38" s="19">
        <f t="shared" si="3"/>
        <v>80</v>
      </c>
    </row>
    <row r="39" spans="2:3" x14ac:dyDescent="0.25">
      <c r="B39" s="19" t="s">
        <v>15</v>
      </c>
      <c r="C39" s="19">
        <f t="shared" si="3"/>
        <v>50</v>
      </c>
    </row>
  </sheetData>
  <mergeCells count="3">
    <mergeCell ref="B18:B27"/>
    <mergeCell ref="E30:F30"/>
    <mergeCell ref="C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Point</vt:lpstr>
      <vt:lpstr>SAW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Asus</cp:lastModifiedBy>
  <dcterms:created xsi:type="dcterms:W3CDTF">2021-02-21T06:12:32Z</dcterms:created>
  <dcterms:modified xsi:type="dcterms:W3CDTF">2021-02-25T06:38:52Z</dcterms:modified>
</cp:coreProperties>
</file>